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99EA3DB7-CF0E-41B2-9313-6BC41C379D40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Planilha2" sheetId="3" r:id="rId2"/>
    <sheet name="Análise" sheetId="2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<sst xmlns="http://schemas.openxmlformats.org/spreadsheetml/2006/main" count="2707" uniqueCount="569">
  <si>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</si>
  <si>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</si>
  <si>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</si>
  <si>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</si>
  <si>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</si>
  <si>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</si>
  <si>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</si>
  <si>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</si>
  <si>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</si>
  <si>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</si>
  <si>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</si>
  <si>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</si>
  <si>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</si>
  <si>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</si>
  <si>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</si>
  <si>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</si>
  <si>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</si>
  <si>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</si>
  <si>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</si>
  <si>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</si>
  <si>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</si>
  <si>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</si>
  <si>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</si>
  <si>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</si>
  <si>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</si>
  <si>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</si>
  <si>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</si>
  <si>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</si>
  <si>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</si>
  <si>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</si>
  <si>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</si>
  <si>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</si>
  <si>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</si>
  <si>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</si>
  <si>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</si>
  <si>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</si>
  <si>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</si>
  <si>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</si>
  <si>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</si>
  <si>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</si>
  <si>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</si>
  <si>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</si>
  <si>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</si>
  <si>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</si>
  <si>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</si>
  <si>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</si>
  <si>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</si>
  <si>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</si>
  <si>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</si>
  <si>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</si>
  <si>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</si>
  <si>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</si>
  <si>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</si>
  <si>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</si>
  <si>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</si>
  <si>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</si>
  <si>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</si>
  <si>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</si>
  <si>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</si>
  <si>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</si>
  <si>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</si>
  <si>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</si>
  <si>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</si>
  <si>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</si>
  <si>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</si>
  <si>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</si>
  <si>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</si>
  <si>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</si>
  <si>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</si>
  <si>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</si>
  <si>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</si>
  <si>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</si>
  <si>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</si>
  <si>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</si>
  <si>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</si>
  <si>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</si>
  <si>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</si>
  <si>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</si>
  <si>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</si>
  <si>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</si>
  <si>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</si>
  <si>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</si>
  <si>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</si>
  <si>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</si>
  <si>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</si>
  <si>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</si>
  <si>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</si>
  <si>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</si>
  <si>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</si>
  <si>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</si>
  <si>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</si>
  <si>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</si>
  <si>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</si>
  <si>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</si>
  <si>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</si>
  <si>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</si>
  <si>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</si>
  <si>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</si>
  <si>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</si>
  <si>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</si>
  <si>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</si>
  <si>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</si>
  <si>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</si>
  <si>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</si>
  <si>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</si>
  <si>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</si>
  <si>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</si>
  <si>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</si>
  <si>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</si>
  <si>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</si>
  <si>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</si>
  <si>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</si>
  <si>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</si>
  <si>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</si>
  <si>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</si>
  <si>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</si>
  <si>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</si>
  <si>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</si>
  <si>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</si>
  <si>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</si>
  <si>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</si>
  <si>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</si>
  <si>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</si>
  <si>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</si>
  <si>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</si>
  <si>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</si>
  <si>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</si>
  <si>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</si>
  <si>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</si>
  <si>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</si>
  <si>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</si>
  <si>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</si>
  <si>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</si>
  <si>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</si>
  <si>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</si>
  <si>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</si>
  <si>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</si>
  <si>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</si>
  <si>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</si>
  <si>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</si>
  <si>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</si>
  <si>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</si>
  <si>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</si>
  <si>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</si>
  <si>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</si>
  <si>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</si>
  <si>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</si>
  <si>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</si>
  <si>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</si>
  <si>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</si>
  <si>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</si>
  <si>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</si>
  <si>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</si>
  <si>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</si>
  <si>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</si>
  <si>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</si>
  <si>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</si>
  <si>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</si>
  <si>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</si>
  <si>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</si>
  <si>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</si>
  <si>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</si>
  <si>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</si>
  <si>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</si>
  <si>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</si>
  <si>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</si>
  <si>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</si>
  <si>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</si>
  <si>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</si>
  <si>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</si>
  <si>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</si>
  <si>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</si>
  <si>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</si>
  <si>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</si>
  <si>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</si>
  <si>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</si>
  <si>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</si>
  <si>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</si>
  <si>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</si>
  <si>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</si>
  <si>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</si>
  <si>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</si>
  <si>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</si>
  <si>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</si>
  <si>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</si>
  <si>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</si>
  <si>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</si>
  <si>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</si>
  <si>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</si>
  <si>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</si>
  <si>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</si>
  <si>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</si>
  <si>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</si>
  <si>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</si>
  <si>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</si>
  <si>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</si>
  <si>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</si>
  <si>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</si>
  <si>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</si>
  <si>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</si>
  <si>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</si>
  <si>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</si>
  <si>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</si>
  <si>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</si>
  <si>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</si>
  <si>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</si>
  <si>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</si>
  <si>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</si>
  <si>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</si>
  <si>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</si>
  <si>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</si>
  <si>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</si>
  <si>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</si>
  <si>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</si>
  <si>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</si>
  <si>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</si>
  <si>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</si>
  <si>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</si>
  <si>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</si>
  <si>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</si>
  <si>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</si>
  <si>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</si>
  <si>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</si>
  <si>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</si>
  <si>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</si>
  <si>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</si>
  <si>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</si>
  <si>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</si>
  <si>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</si>
  <si>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</si>
  <si>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</si>
  <si>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</si>
  <si>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</si>
  <si>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</si>
  <si>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</si>
  <si>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</si>
  <si>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</si>
  <si>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</si>
  <si>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</si>
  <si>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</si>
  <si>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</si>
  <si>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</si>
  <si>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</si>
  <si>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</si>
  <si>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</si>
  <si>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</si>
  <si>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</si>
  <si>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</si>
  <si>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</si>
  <si>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</si>
  <si>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</si>
  <si>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</si>
  <si>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</si>
  <si>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</si>
  <si>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</si>
  <si>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</si>
  <si>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</si>
  <si>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</si>
  <si>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</si>
  <si>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</si>
  <si>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</si>
  <si>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</si>
  <si>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</si>
  <si>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</si>
  <si>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</si>
  <si>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</si>
  <si>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</si>
  <si>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</si>
  <si>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</si>
  <si>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</si>
  <si>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</si>
  <si>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</si>
  <si>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</si>
  <si>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</si>
  <si>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</si>
  <si>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</si>
  <si>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</si>
  <si>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</si>
  <si>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</si>
  <si>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</si>
  <si>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</si>
  <si>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</si>
  <si>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</si>
  <si>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</si>
  <si>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</si>
  <si>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</si>
  <si>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</si>
  <si>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</si>
  <si>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</si>
  <si>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</si>
  <si>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</si>
  <si>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</si>
  <si>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</si>
  <si>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</si>
  <si>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</si>
  <si>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</si>
  <si>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</si>
  <si>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</si>
  <si>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</si>
  <si>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</si>
  <si>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</si>
  <si>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</si>
  <si>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</si>
  <si>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</si>
  <si>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</si>
  <si>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</si>
  <si>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</si>
  <si>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</si>
  <si>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</si>
  <si>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</si>
  <si>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</si>
  <si>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</si>
  <si>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</si>
  <si>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</si>
  <si>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</si>
  <si>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</si>
  <si>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</si>
  <si>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</si>
  <si>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</si>
  <si>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</si>
  <si>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</si>
  <si>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</si>
  <si>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</si>
  <si>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</si>
  <si>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</si>
  <si>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</si>
  <si>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</si>
  <si>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</si>
  <si>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</si>
  <si>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</si>
  <si>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</si>
  <si>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</si>
  <si>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</si>
  <si>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</si>
  <si>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</si>
  <si>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</si>
  <si>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</si>
  <si>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</si>
  <si>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</si>
  <si>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</si>
  <si>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</si>
  <si>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</si>
  <si>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</si>
  <si>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</si>
  <si>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</si>
  <si>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</si>
  <si>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</si>
  <si>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</si>
  <si>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</si>
  <si>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</si>
  <si>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</si>
  <si>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</si>
  <si>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</si>
  <si>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</si>
  <si>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</si>
  <si>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</si>
  <si>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</si>
  <si>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</si>
  <si>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</si>
  <si>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</si>
  <si>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</si>
  <si>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</si>
  <si>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</si>
  <si>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</si>
  <si>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</si>
  <si>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</si>
  <si>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</si>
  <si>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</si>
  <si>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</si>
  <si>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</si>
  <si>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</si>
  <si>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</si>
  <si>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</si>
  <si>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</si>
  <si>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</si>
  <si>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</si>
  <si>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</si>
  <si>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</si>
  <si>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</si>
  <si>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</si>
  <si>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</si>
  <si>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</si>
  <si>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</si>
  <si>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</si>
  <si>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</si>
  <si>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</si>
  <si>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</si>
  <si>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</si>
  <si>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</si>
  <si>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</si>
  <si>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</si>
  <si>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</si>
  <si>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</si>
  <si>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</si>
  <si>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</si>
  <si>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</si>
  <si>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</si>
  <si>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</si>
  <si>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</si>
  <si>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</si>
  <si>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</si>
  <si>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</si>
  <si>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</si>
  <si>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</si>
  <si>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</si>
  <si>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</si>
  <si>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</si>
  <si>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</si>
  <si>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</si>
  <si>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</si>
  <si>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</si>
  <si>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</si>
  <si>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</si>
  <si>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</si>
  <si>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</si>
  <si>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</si>
  <si>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</si>
  <si>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</si>
  <si>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</si>
  <si>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</si>
  <si>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</si>
  <si>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</si>
  <si>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</si>
  <si>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</si>
  <si>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</si>
  <si>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</si>
  <si>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</si>
  <si>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</si>
  <si>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</si>
  <si>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</si>
  <si>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</si>
  <si>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</si>
  <si>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</si>
  <si>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</si>
  <si>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</si>
  <si>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</si>
  <si>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</si>
  <si>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</si>
  <si>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</si>
  <si>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</si>
  <si>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</si>
  <si>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</si>
  <si>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</si>
  <si>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</si>
  <si>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</si>
  <si>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</si>
  <si>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</si>
  <si>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</si>
  <si>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</si>
  <si>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</si>
  <si>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</si>
  <si>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</si>
  <si>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</si>
  <si>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</si>
  <si>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</si>
  <si>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</si>
  <si>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</si>
  <si>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</si>
  <si>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</si>
  <si>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</si>
  <si>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</si>
  <si>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</si>
  <si>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</si>
  <si>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</si>
  <si>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</si>
  <si>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</si>
  <si>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</si>
  <si>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</si>
  <si>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</si>
  <si>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</si>
  <si>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</si>
  <si>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</si>
  <si>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</si>
  <si>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</si>
  <si>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</si>
  <si>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</si>
  <si>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</si>
  <si>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</si>
  <si>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</si>
  <si>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</si>
  <si>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</si>
  <si>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</si>
  <si>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</si>
  <si>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</si>
  <si>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</si>
  <si>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</si>
  <si>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</si>
  <si>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</si>
  <si>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</si>
  <si>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</si>
  <si>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</si>
  <si>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</si>
  <si>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</si>
  <si>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</si>
  <si>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</si>
  <si>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</si>
  <si>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</si>
  <si>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</si>
  <si>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</si>
  <si>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</si>
  <si>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</si>
  <si>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</si>
  <si>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</si>
  <si>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</si>
  <si>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</si>
  <si>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</si>
  <si>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</si>
  <si>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</si>
  <si>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</si>
  <si>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</si>
  <si>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</si>
  <si>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</si>
  <si>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</si>
  <si>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</si>
  <si>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</si>
  <si>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</si>
  <si>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</si>
  <si>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</si>
  <si>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</si>
  <si>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</si>
  <si>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</si>
  <si>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</si>
  <si>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</si>
  <si>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</si>
  <si>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</si>
  <si>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</si>
  <si>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</si>
  <si>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</si>
  <si>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</si>
  <si>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</si>
  <si>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</si>
  <si>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</si>
  <si>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</si>
  <si>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</si>
  <si>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</si>
  <si>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</si>
  <si>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</si>
  <si>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</si>
  <si>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</si>
  <si>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</si>
  <si>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</si>
  <si>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</si>
  <si>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</si>
  <si>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</si>
  <si>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</si>
  <si>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</si>
  <si>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</si>
  <si>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</si>
  <si>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</si>
  <si>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</si>
  <si>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</si>
  <si>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</si>
  <si>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</si>
  <si>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</si>
  <si>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</si>
  <si>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</si>
  <si>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</si>
  <si>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</si>
  <si>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</si>
  <si>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</si>
  <si>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</si>
  <si>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</si>
  <si>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</si>
  <si>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PAGO R$</t>
  </si>
  <si>
    <t>TOTAL DE ITENS</t>
  </si>
  <si>
    <t>SECRETARIA</t>
  </si>
  <si>
    <t>Rótulos de Linha</t>
  </si>
  <si>
    <t>Total Geral</t>
  </si>
  <si>
    <t>Soma de TOTAL PAGO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</si>
</sst>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" fontId="0" fillId="0" borderId="0" xfId="0" applyNumberFormat="1"/>
    <xf numFmtId="0" fontId="0" fillId="0" borderId="0" xfId="0" applyFont="1"/>
    <xf numFmtId="0" fontId="17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3" fillId="33" borderId="11" xfId="0" applyFont="1" applyFill="1" applyBorder="1" applyAlignment="1">
      <alignment horizontal="left"/>
    </xf>
    <xf numFmtId="0" fontId="0" fillId="34" borderId="10" xfId="0" applyFont="1" applyFill="1" applyBorder="1"/>
    <xf numFmtId="0" fontId="0" fillId="35" borderId="10" xfId="0" applyFont="1" applyFill="1" applyBorder="1"/>
    <xf numFmtId="0" fontId="17" fillId="33" borderId="12" xfId="0" applyFont="1" applyFill="1" applyBorder="1"/>
    <xf numFmtId="164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R$-416]\ * #,##0.00_-;\-[$R$-416]\ * #,##0.00_-;_-[$R$-416]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1-4A57-A4CF-1D1755B6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256832"/>
        <c:axId val="1995034944"/>
      </c:barChart>
      <c:catAx>
        <c:axId val="19872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5034944"/>
        <c:crosses val="autoZero"/>
        <c:auto val="1"/>
        <c:lblAlgn val="ctr"/>
        <c:lblOffset val="100"/>
        <c:noMultiLvlLbl val="0"/>
      </c:catAx>
      <c:valAx>
        <c:axId val="19950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9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25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314324</xdr:colOff>
      <xdr:row>0</xdr:row>
      <xdr:rowOff>152399</xdr:rowOff>
    </xdr:from>
    <xdr:to>
      <xdr:col>14</xdr:col>
      <xdr:colOff>390525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8A38EF-0DF4-4C76-B6E1-4E59EC599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14</xdr:col>
      <xdr:colOff>400050</xdr:colOff>
      <xdr:row>30</xdr:row>
      <xdr:rowOff>180975</xdr:rowOff>
    </xdr:to>
    <xdr:sp macro="" textlink="">
      <xdr:nvSpPr>
        <xdr:cNvPr id="3073" name="dimg_B7G0aerXKJ3c1sQPiIz1oAg_79" descr="Prefeitura de São José dos Campos - #Serviço #PMSJC #SJC 👩👨📞☎ As três  unidades do Creas (Centro de Referência Especializado de Assistência  Social) passam a atender em novos telefones. A alteração será">
          <a:extLst>
            <a:ext uri="{FF2B5EF4-FFF2-40B4-BE49-F238E27FC236}">
              <a16:creationId xmlns:a16="http://schemas.microsoft.com/office/drawing/2014/main" id="{C52AF8BC-9BA6-4144-96A8-E786CD720F82}"/>
            </a:ext>
          </a:extLst>
        </xdr:cNvPr>
        <xdr:cNvSpPr>
          <a:spLocks noChangeAspect="1" noChangeArrowheads="1"/>
        </xdr:cNvSpPr>
      </xdr:nvSpPr>
      <xdr:spPr bwMode="auto">
        <a:xfrm>
          <a:off x="9648825" y="4572000"/>
          <a:ext cx="34480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04345601855" createdVersion="6" refreshedVersion="6" minRefreshableVersion="3" recordCount="16">
  <cacheSource type="worksheet">
    <worksheetSource name="Tabela4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PAGO R$" numFmtId="16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PAGO R$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1048576" totalsRowShown="0" headerRowDxfId="3">
  <autoFilter ref="A1:K1048576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/>
    <tableColumn id="11" name="Pago  (R$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C17" totalsRowShown="0">
  <autoFilter ref="A1:C17"/>
  <tableColumns count="3">
    <tableColumn id="1" name="SECRETARIA" dataDxfId="2"/>
    <tableColumn id="2" name="TOTAL PAGO R$" dataDxfId="1">
      <calculatedColumnFormula>SUMIF(Tabela1[[#All],[Secretaria]],Tabela4[[#This Row],[SECRETARIA]],Tabela1[[#All],[Pago  (R$)]])</calculatedColumnFormula>
    </tableColumn>
    <tableColumn id="3" name="TOTAL DE ITENS" dataDxfId="0">
      <calculatedColumnFormula>COUNTIF(Tabela1[[#All],[Secretaria]],Tabela4[[#This Row],[SECRETARIA]])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workbookViewId="0">
      <selection activeCell="G4" sqref="G4"/>
    </sheetView>
  </sheetViews>
  <sheetFormatPr defaultRowHeight="15" x14ac:dyDescent="0.25"/>
  <cols>
    <col min="3" max="3" width="26.42578125" customWidth="1"/>
    <col min="4" max="4" width="16.85546875" customWidth="1"/>
    <col min="5" max="5" width="20.140625" customWidth="1"/>
    <col min="6" max="6" width="19.42578125" customWidth="1"/>
    <col min="7" max="7" width="27.140625" customWidth="1"/>
    <col min="8" max="8" width="25.42578125" customWidth="1"/>
    <col min="9" max="9" width="17.7109375" customWidth="1"/>
    <col min="10" max="10" width="16.28515625" customWidth="1"/>
    <col min="11" max="11" width="12.7109375" bestFit="1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G26" sqref="G26"/>
    </sheetView>
  </sheetViews>
  <sheetFormatPr defaultRowHeight="15" x14ac:dyDescent="0.25"/>
  <cols>
    <col min="1" max="1" width="57.42578125" bestFit="1" customWidth="1"/>
    <col min="2" max="2" width="23.28515625" bestFit="1" customWidth="1"/>
  </cols>
  <sheetData>
    <row r="1" spans="1:2" x14ac:dyDescent="0.25">
      <c r="A1" s="11" t="s">
        <v>566</v>
      </c>
      <c r="B1" t="s">
        <v>568</v>
      </c>
    </row>
    <row r="2" spans="1:2" x14ac:dyDescent="0.25">
      <c r="A2" s="4" t="s">
        <v>12</v>
      </c>
      <c r="B2" s="12">
        <v>67673.06</v>
      </c>
    </row>
    <row r="3" spans="1:2" x14ac:dyDescent="0.25">
      <c r="A3" s="4" t="s">
        <v>464</v>
      </c>
      <c r="B3" s="12">
        <v>474178.14999999997</v>
      </c>
    </row>
    <row r="4" spans="1:2" x14ac:dyDescent="0.25">
      <c r="A4" s="4" t="s">
        <v>548</v>
      </c>
      <c r="B4" s="12">
        <v>924217.23</v>
      </c>
    </row>
    <row r="5" spans="1:2" x14ac:dyDescent="0.25">
      <c r="A5" s="4" t="s">
        <v>52</v>
      </c>
      <c r="B5" s="12">
        <v>1182770.0299999998</v>
      </c>
    </row>
    <row r="6" spans="1:2" x14ac:dyDescent="0.25">
      <c r="A6" s="4" t="s">
        <v>92</v>
      </c>
      <c r="B6" s="12">
        <v>1644914.53</v>
      </c>
    </row>
    <row r="7" spans="1:2" x14ac:dyDescent="0.25">
      <c r="A7" s="4" t="s">
        <v>115</v>
      </c>
      <c r="B7" s="12">
        <v>2361341.12</v>
      </c>
    </row>
    <row r="8" spans="1:2" x14ac:dyDescent="0.25">
      <c r="A8" s="4" t="s">
        <v>18</v>
      </c>
      <c r="B8" s="12">
        <v>3049447.7499999995</v>
      </c>
    </row>
    <row r="9" spans="1:2" x14ac:dyDescent="0.25">
      <c r="A9" s="4" t="s">
        <v>486</v>
      </c>
      <c r="B9" s="12">
        <v>5438913.9299999978</v>
      </c>
    </row>
    <row r="10" spans="1:2" x14ac:dyDescent="0.25">
      <c r="A10" s="4" t="s">
        <v>236</v>
      </c>
      <c r="B10" s="12">
        <v>5975771.5599999996</v>
      </c>
    </row>
    <row r="11" spans="1:2" x14ac:dyDescent="0.25">
      <c r="A11" s="4" t="s">
        <v>262</v>
      </c>
      <c r="B11" s="12">
        <v>8654354.950000003</v>
      </c>
    </row>
    <row r="12" spans="1:2" x14ac:dyDescent="0.25">
      <c r="A12" s="4" t="s">
        <v>74</v>
      </c>
      <c r="B12" s="12">
        <v>8665883.370000001</v>
      </c>
    </row>
    <row r="13" spans="1:2" x14ac:dyDescent="0.25">
      <c r="A13" s="4" t="s">
        <v>291</v>
      </c>
      <c r="B13" s="12">
        <v>25107843.960000001</v>
      </c>
    </row>
    <row r="14" spans="1:2" x14ac:dyDescent="0.25">
      <c r="A14" s="4" t="s">
        <v>438</v>
      </c>
      <c r="B14" s="12">
        <v>30679165.420000002</v>
      </c>
    </row>
    <row r="15" spans="1:2" x14ac:dyDescent="0.25">
      <c r="A15" s="4" t="s">
        <v>510</v>
      </c>
      <c r="B15" s="12">
        <v>37463150.299999997</v>
      </c>
    </row>
    <row r="16" spans="1:2" x14ac:dyDescent="0.25">
      <c r="A16" s="4" t="s">
        <v>310</v>
      </c>
      <c r="B16" s="12">
        <v>84243777.629999995</v>
      </c>
    </row>
    <row r="17" spans="1:2" x14ac:dyDescent="0.25">
      <c r="A17" s="4" t="s">
        <v>131</v>
      </c>
      <c r="B17" s="12">
        <v>97415941.840000004</v>
      </c>
    </row>
    <row r="18" spans="1:2" x14ac:dyDescent="0.25">
      <c r="A18" s="4" t="s">
        <v>567</v>
      </c>
      <c r="B18" s="12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sqref="A1:C17"/>
    </sheetView>
  </sheetViews>
  <sheetFormatPr defaultRowHeight="15" x14ac:dyDescent="0.25"/>
  <cols>
    <col min="1" max="1" width="57.42578125" bestFit="1" customWidth="1"/>
    <col min="2" max="2" width="17.28515625" bestFit="1" customWidth="1"/>
    <col min="3" max="3" width="17.140625" bestFit="1" customWidth="1"/>
  </cols>
  <sheetData>
    <row r="1" spans="1:3" x14ac:dyDescent="0.25">
      <c r="A1" s="5" t="s">
        <v>565</v>
      </c>
      <c r="B1" s="8" t="s">
        <v>563</v>
      </c>
      <c r="C1" s="8" t="s">
        <v>564</v>
      </c>
    </row>
    <row r="2" spans="1:3" x14ac:dyDescent="0.25">
      <c r="A2" s="6" t="s">
        <v>12</v>
      </c>
      <c r="B2" s="9">
        <f>SUMIF(Tabela1[[#All],[Secretaria]],Tabela4[[#This Row],[SECRETARIA]],Tabela1[[#All],[Pago  (R$)]])</f>
        <v>67673.06</v>
      </c>
      <c r="C2" s="10">
        <f>COUNTIF(Tabela1[[#All],[Secretaria]],Tabela4[[#This Row],[SECRETARIA]])</f>
        <v>1</v>
      </c>
    </row>
    <row r="3" spans="1:3" x14ac:dyDescent="0.25">
      <c r="A3" s="7" t="s">
        <v>18</v>
      </c>
      <c r="B3" s="9">
        <f>SUMIF(Tabela1[[#All],[Secretaria]],Tabela4[[#This Row],[SECRETARIA]],Tabela1[[#All],[Pago  (R$)]])</f>
        <v>3049447.7499999995</v>
      </c>
      <c r="C3" s="10">
        <f>COUNTIF(Tabela1[[#All],[Secretaria]],Tabela4[[#This Row],[SECRETARIA]])</f>
        <v>21</v>
      </c>
    </row>
    <row r="4" spans="1:3" x14ac:dyDescent="0.25">
      <c r="A4" s="6" t="s">
        <v>52</v>
      </c>
      <c r="B4" s="9">
        <f>SUMIF(Tabela1[[#All],[Secretaria]],Tabela4[[#This Row],[SECRETARIA]],Tabela1[[#All],[Pago  (R$)]])</f>
        <v>1182770.0299999998</v>
      </c>
      <c r="C4" s="10">
        <f>COUNTIF(Tabela1[[#All],[Secretaria]],Tabela4[[#This Row],[SECRETARIA]])</f>
        <v>16</v>
      </c>
    </row>
    <row r="5" spans="1:3" x14ac:dyDescent="0.25">
      <c r="A5" s="6" t="s">
        <v>74</v>
      </c>
      <c r="B5" s="9">
        <f>SUMIF(Tabela1[[#All],[Secretaria]],Tabela4[[#This Row],[SECRETARIA]],Tabela1[[#All],[Pago  (R$)]])</f>
        <v>8665883.370000001</v>
      </c>
      <c r="C5" s="10">
        <f>COUNTIF(Tabela1[[#All],[Secretaria]],Tabela4[[#This Row],[SECRETARIA]])</f>
        <v>16</v>
      </c>
    </row>
    <row r="6" spans="1:3" x14ac:dyDescent="0.25">
      <c r="A6" s="6" t="s">
        <v>92</v>
      </c>
      <c r="B6" s="9">
        <f>SUMIF(Tabela1[[#All],[Secretaria]],Tabela4[[#This Row],[SECRETARIA]],Tabela1[[#All],[Pago  (R$)]])</f>
        <v>1644914.53</v>
      </c>
      <c r="C6" s="10">
        <f>COUNTIF(Tabela1[[#All],[Secretaria]],Tabela4[[#This Row],[SECRETARIA]])</f>
        <v>16</v>
      </c>
    </row>
    <row r="7" spans="1:3" x14ac:dyDescent="0.25">
      <c r="A7" s="6" t="s">
        <v>115</v>
      </c>
      <c r="B7" s="9">
        <f>SUMIF(Tabela1[[#All],[Secretaria]],Tabela4[[#This Row],[SECRETARIA]],Tabela1[[#All],[Pago  (R$)]])</f>
        <v>2361341.12</v>
      </c>
      <c r="C7" s="10">
        <f>COUNTIF(Tabela1[[#All],[Secretaria]],Tabela4[[#This Row],[SECRETARIA]])</f>
        <v>13</v>
      </c>
    </row>
    <row r="8" spans="1:3" x14ac:dyDescent="0.25">
      <c r="A8" s="7" t="s">
        <v>131</v>
      </c>
      <c r="B8" s="9">
        <f>SUMIF(Tabela1[[#All],[Secretaria]],Tabela4[[#This Row],[SECRETARIA]],Tabela1[[#All],[Pago  (R$)]])</f>
        <v>97415941.840000004</v>
      </c>
      <c r="C8" s="10">
        <f>COUNTIF(Tabela1[[#All],[Secretaria]],Tabela4[[#This Row],[SECRETARIA]])</f>
        <v>88</v>
      </c>
    </row>
    <row r="9" spans="1:3" x14ac:dyDescent="0.25">
      <c r="A9" s="7" t="s">
        <v>236</v>
      </c>
      <c r="B9" s="9">
        <f>SUMIF(Tabela1[[#All],[Secretaria]],Tabela4[[#This Row],[SECRETARIA]],Tabela1[[#All],[Pago  (R$)]])</f>
        <v>5975771.5599999996</v>
      </c>
      <c r="C9" s="10">
        <f>COUNTIF(Tabela1[[#All],[Secretaria]],Tabela4[[#This Row],[SECRETARIA]])</f>
        <v>23</v>
      </c>
    </row>
    <row r="10" spans="1:3" x14ac:dyDescent="0.25">
      <c r="A10" s="6" t="s">
        <v>262</v>
      </c>
      <c r="B10" s="9">
        <f>SUMIF(Tabela1[[#All],[Secretaria]],Tabela4[[#This Row],[SECRETARIA]],Tabela1[[#All],[Pago  (R$)]])</f>
        <v>8654354.950000003</v>
      </c>
      <c r="C10" s="10">
        <f>COUNTIF(Tabela1[[#All],[Secretaria]],Tabela4[[#This Row],[SECRETARIA]])</f>
        <v>25</v>
      </c>
    </row>
    <row r="11" spans="1:3" x14ac:dyDescent="0.25">
      <c r="A11" s="7" t="s">
        <v>291</v>
      </c>
      <c r="B11" s="9">
        <f>SUMIF(Tabela1[[#All],[Secretaria]],Tabela4[[#This Row],[SECRETARIA]],Tabela1[[#All],[Pago  (R$)]])</f>
        <v>25107843.960000001</v>
      </c>
      <c r="C11" s="10">
        <f>COUNTIF(Tabela1[[#All],[Secretaria]],Tabela4[[#This Row],[SECRETARIA]])</f>
        <v>15</v>
      </c>
    </row>
    <row r="12" spans="1:3" x14ac:dyDescent="0.25">
      <c r="A12" s="6" t="s">
        <v>310</v>
      </c>
      <c r="B12" s="9">
        <f>SUMIF(Tabela1[[#All],[Secretaria]],Tabela4[[#This Row],[SECRETARIA]],Tabela1[[#All],[Pago  (R$)]])</f>
        <v>84243777.629999995</v>
      </c>
      <c r="C12" s="10">
        <f>COUNTIF(Tabela1[[#All],[Secretaria]],Tabela4[[#This Row],[SECRETARIA]])</f>
        <v>115</v>
      </c>
    </row>
    <row r="13" spans="1:3" x14ac:dyDescent="0.25">
      <c r="A13" s="7" t="s">
        <v>438</v>
      </c>
      <c r="B13" s="9">
        <f>SUMIF(Tabela1[[#All],[Secretaria]],Tabela4[[#This Row],[SECRETARIA]],Tabela1[[#All],[Pago  (R$)]])</f>
        <v>30679165.420000002</v>
      </c>
      <c r="C13" s="10">
        <f>COUNTIF(Tabela1[[#All],[Secretaria]],Tabela4[[#This Row],[SECRETARIA]])</f>
        <v>22</v>
      </c>
    </row>
    <row r="14" spans="1:3" x14ac:dyDescent="0.25">
      <c r="A14" s="7" t="s">
        <v>464</v>
      </c>
      <c r="B14" s="9">
        <f>SUMIF(Tabela1[[#All],[Secretaria]],Tabela4[[#This Row],[SECRETARIA]],Tabela1[[#All],[Pago  (R$)]])</f>
        <v>474178.14999999997</v>
      </c>
      <c r="C14" s="10">
        <f>COUNTIF(Tabela1[[#All],[Secretaria]],Tabela4[[#This Row],[SECRETARIA]])</f>
        <v>14</v>
      </c>
    </row>
    <row r="15" spans="1:3" x14ac:dyDescent="0.25">
      <c r="A15" s="7" t="s">
        <v>486</v>
      </c>
      <c r="B15" s="9">
        <f>SUMIF(Tabela1[[#All],[Secretaria]],Tabela4[[#This Row],[SECRETARIA]],Tabela1[[#All],[Pago  (R$)]])</f>
        <v>5438913.9299999978</v>
      </c>
      <c r="C15" s="10">
        <f>COUNTIF(Tabela1[[#All],[Secretaria]],Tabela4[[#This Row],[SECRETARIA]])</f>
        <v>21</v>
      </c>
    </row>
    <row r="16" spans="1:3" x14ac:dyDescent="0.25">
      <c r="A16" s="6" t="s">
        <v>510</v>
      </c>
      <c r="B16" s="9">
        <f>SUMIF(Tabela1[[#All],[Secretaria]],Tabela4[[#This Row],[SECRETARIA]],Tabela1[[#All],[Pago  (R$)]])</f>
        <v>37463150.299999997</v>
      </c>
      <c r="C16" s="10">
        <f>COUNTIF(Tabela1[[#All],[Secretaria]],Tabela4[[#This Row],[SECRETARIA]])</f>
        <v>24</v>
      </c>
    </row>
    <row r="17" spans="1:3" x14ac:dyDescent="0.25">
      <c r="A17" s="6" t="s">
        <v>548</v>
      </c>
      <c r="B17" s="9">
        <f>SUMIF(Tabela1[[#All],[Secretaria]],Tabela4[[#This Row],[SECRETARIA]],Tabela1[[#All],[Pago  (R$)]])</f>
        <v>924217.23</v>
      </c>
      <c r="C17" s="10">
        <f>COUNTIF(Tabela1[[#All],[Secretaria]],Tabela4[[#This Row],[SECRETARIA]])</f>
        <v>13</v>
      </c>
    </row>
    <row r="18" spans="1:3" x14ac:dyDescent="0.25">
      <c r="A18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2026-03-13T23:53:51Z</dcterms:created>
  <dcterms:modified xsi:type="dcterms:W3CDTF">2026-03-14T00:55:49Z</dcterms:modified>
</cp:coreProperties>
</file>